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détaillée" sheetId="1" state="visible" r:id="rId1"/>
    <sheet xmlns:r="http://schemas.openxmlformats.org/officeDocument/2006/relationships" name="Budget global" sheetId="2" state="visible" r:id="rId2"/>
    <sheet xmlns:r="http://schemas.openxmlformats.org/officeDocument/2006/relationships" name="Machines FabL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  <col width="28" customWidth="1" min="5" max="5"/>
    <col width="10" customWidth="1" min="6" max="6"/>
    <col width="19" customWidth="1" min="7" max="7"/>
    <col width="11" customWidth="1" min="8" max="8"/>
    <col width="13" customWidth="1" min="9" max="9"/>
    <col width="13" customWidth="1" min="10" max="10"/>
  </cols>
  <sheetData>
    <row r="1">
      <c r="A1" s="1" t="inlineStr">
        <is>
          <t>Module</t>
        </is>
      </c>
      <c r="B1" s="1" t="inlineStr">
        <is>
          <t>Catégorie</t>
        </is>
      </c>
      <c r="C1" s="1" t="inlineStr">
        <is>
          <t>Nom / Pièce</t>
        </is>
      </c>
      <c r="D1" s="1" t="inlineStr">
        <is>
          <t>Référence</t>
        </is>
      </c>
      <c r="E1" s="1" t="inlineStr">
        <is>
          <t>Utilité</t>
        </is>
      </c>
      <c r="F1" s="1" t="inlineStr">
        <is>
          <t>Quantité</t>
        </is>
      </c>
      <c r="G1" s="1" t="inlineStr">
        <is>
          <t>Prix unitaire (€)</t>
        </is>
      </c>
      <c r="H1" s="1" t="inlineStr">
        <is>
          <t>Total (€)</t>
        </is>
      </c>
      <c r="I1" s="1" t="inlineStr">
        <is>
          <t>Statut</t>
        </is>
      </c>
      <c r="J1" s="1" t="inlineStr">
        <is>
          <t>Commentaire</t>
        </is>
      </c>
    </row>
    <row r="2">
      <c r="A2" t="inlineStr">
        <is>
          <t>Extrusion</t>
        </is>
      </c>
      <c r="B2" t="inlineStr">
        <is>
          <t>Machine</t>
        </is>
      </c>
      <c r="C2" t="inlineStr">
        <is>
          <t>Extrudeuse</t>
        </is>
      </c>
      <c r="D2" t="inlineStr">
        <is>
          <t>Noztek Pro</t>
        </is>
      </c>
      <c r="E2" t="inlineStr">
        <is>
          <t>Fusion et extrusion du PLA</t>
        </is>
      </c>
      <c r="F2" t="n">
        <v>1</v>
      </c>
      <c r="G2" t="n">
        <v>950</v>
      </c>
      <c r="H2">
        <f>F2*G2</f>
        <v/>
      </c>
      <c r="I2" t="inlineStr">
        <is>
          <t>✅ FabLab</t>
        </is>
      </c>
      <c r="J2" t="inlineStr"/>
    </row>
    <row r="3">
      <c r="A3" t="inlineStr">
        <is>
          <t>Contrôle</t>
        </is>
      </c>
      <c r="B3" t="inlineStr">
        <is>
          <t>Électronique</t>
        </is>
      </c>
      <c r="C3" t="inlineStr">
        <is>
          <t>Raspberry Pi</t>
        </is>
      </c>
      <c r="D3" t="inlineStr">
        <is>
          <t>3B</t>
        </is>
      </c>
      <c r="E3" t="inlineStr">
        <is>
          <t>Traitement image + IHM</t>
        </is>
      </c>
      <c r="F3" t="n">
        <v>1</v>
      </c>
      <c r="G3" t="n">
        <v>35</v>
      </c>
      <c r="H3">
        <f>F3*G3</f>
        <v/>
      </c>
      <c r="I3" t="inlineStr">
        <is>
          <t>🚧 À acheter</t>
        </is>
      </c>
      <c r="J3" t="inlineStr"/>
    </row>
    <row r="4">
      <c r="A4" t="inlineStr">
        <is>
          <t>Bobineuse</t>
        </is>
      </c>
      <c r="B4" t="inlineStr">
        <is>
          <t>Mécanique</t>
        </is>
      </c>
      <c r="C4" t="inlineStr">
        <is>
          <t>Moteur</t>
        </is>
      </c>
      <c r="D4" t="inlineStr">
        <is>
          <t>NEMA 17</t>
        </is>
      </c>
      <c r="E4" t="inlineStr">
        <is>
          <t>Traction filament</t>
        </is>
      </c>
      <c r="F4" t="n">
        <v>1</v>
      </c>
      <c r="G4" t="n">
        <v>18</v>
      </c>
      <c r="H4">
        <f>F4*G4</f>
        <v/>
      </c>
      <c r="I4" t="inlineStr">
        <is>
          <t>✅ FabLab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13" customWidth="1" min="4" max="4"/>
  </cols>
  <sheetData>
    <row r="1">
      <c r="A1" s="1" t="inlineStr">
        <is>
          <t>Module</t>
        </is>
      </c>
      <c r="B1" s="1" t="inlineStr">
        <is>
          <t>Description</t>
        </is>
      </c>
      <c r="C1" s="1" t="inlineStr">
        <is>
          <t>Budget estimé (€)</t>
        </is>
      </c>
      <c r="D1" s="1" t="inlineStr">
        <is>
          <t>Commentaire</t>
        </is>
      </c>
    </row>
    <row r="2">
      <c r="A2" t="inlineStr">
        <is>
          <t>Extrusion</t>
        </is>
      </c>
      <c r="B2" t="inlineStr">
        <is>
          <t>Extrudeuse + chauffage</t>
        </is>
      </c>
      <c r="C2" t="n">
        <v>950</v>
      </c>
      <c r="D2" t="inlineStr"/>
    </row>
    <row r="3">
      <c r="A3" t="inlineStr">
        <is>
          <t>Métrologie</t>
        </is>
      </c>
      <c r="B3" t="inlineStr">
        <is>
          <t>Caméra + éclairage + Pi</t>
        </is>
      </c>
      <c r="C3" t="n">
        <v>120</v>
      </c>
      <c r="D3" t="inlineStr"/>
    </row>
    <row r="4">
      <c r="A4" t="inlineStr">
        <is>
          <t>Bobineuse</t>
        </is>
      </c>
      <c r="B4" t="inlineStr">
        <is>
          <t>Moteur + électronique + mécanique</t>
        </is>
      </c>
      <c r="C4" t="n">
        <v>65</v>
      </c>
      <c r="D4" t="inlineStr"/>
    </row>
    <row r="5">
      <c r="A5" t="inlineStr">
        <is>
          <t>Structure</t>
        </is>
      </c>
      <c r="B5" t="inlineStr">
        <is>
          <t>Profilés + plexiglas</t>
        </is>
      </c>
      <c r="C5" t="n">
        <v>90</v>
      </c>
      <c r="D5" t="inlineStr"/>
    </row>
    <row r="6">
      <c r="A6" t="inlineStr">
        <is>
          <t>TOTAL</t>
        </is>
      </c>
      <c r="B6" t="inlineStr"/>
      <c r="C6">
        <f>SUM(C2:C5)</f>
        <v/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4" customWidth="1" min="4" max="4"/>
  </cols>
  <sheetData>
    <row r="1">
      <c r="A1" s="1" t="inlineStr">
        <is>
          <t>Machine</t>
        </is>
      </c>
      <c r="B1" s="1" t="inlineStr">
        <is>
          <t>Localisation</t>
        </is>
      </c>
      <c r="C1" s="1" t="inlineStr">
        <is>
          <t>Utilité dans le projet</t>
        </is>
      </c>
      <c r="D1" s="1" t="inlineStr">
        <is>
          <t>Commentaires</t>
        </is>
      </c>
    </row>
    <row r="2">
      <c r="A2" t="inlineStr">
        <is>
          <t>Imprimante 3D</t>
        </is>
      </c>
      <c r="B2" t="inlineStr">
        <is>
          <t>FabLab</t>
        </is>
      </c>
      <c r="C2" t="inlineStr">
        <is>
          <t>Fabrication pièces bobineuse</t>
        </is>
      </c>
      <c r="D2" t="inlineStr"/>
    </row>
    <row r="3">
      <c r="A3" t="inlineStr">
        <is>
          <t>Perceuse colonne</t>
        </is>
      </c>
      <c r="B3" t="inlineStr">
        <is>
          <t>FabLab</t>
        </is>
      </c>
      <c r="C3" t="inlineStr">
        <is>
          <t>Perçage châssis</t>
        </is>
      </c>
      <c r="D3" t="inlineStr"/>
    </row>
    <row r="4">
      <c r="A4" t="inlineStr">
        <is>
          <t>Scie à onglet</t>
        </is>
      </c>
      <c r="B4" t="inlineStr">
        <is>
          <t>FabLab</t>
        </is>
      </c>
      <c r="C4" t="inlineStr">
        <is>
          <t>Découpe profilés aluminium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2026-02-09T21:57:09Z</dcterms:created>
  <dcterms:modified xmlns:dcterms="http://purl.org/dc/terms/" xmlns:xsi="http://www.w3.org/2001/XMLSchema-instance" xsi:type="dcterms:W3CDTF">2026-02-09T21:57:09Z</dcterms:modified>
</cp:coreProperties>
</file>